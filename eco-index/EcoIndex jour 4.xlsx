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ecoindex" sheetId="2" r:id="rId6"/>
  </sheets>
  <definedNames/>
  <calcPr/>
</workbook>
</file>

<file path=xl/sharedStrings.xml><?xml version="1.0" encoding="utf-8"?>
<sst xmlns="http://schemas.openxmlformats.org/spreadsheetml/2006/main" count="89" uniqueCount="64">
  <si>
    <t>Date</t>
  </si>
  <si>
    <t>Titre de page</t>
  </si>
  <si>
    <t>Url</t>
  </si>
  <si>
    <t>Nb de requêtes</t>
  </si>
  <si>
    <t>Taille(kb)</t>
  </si>
  <si>
    <t>Taille du dom</t>
  </si>
  <si>
    <t>GES gCO2e</t>
  </si>
  <si>
    <t>Eau cl</t>
  </si>
  <si>
    <t>ecoIndex</t>
  </si>
  <si>
    <t>Note</t>
  </si>
  <si>
    <t>Les services</t>
  </si>
  <si>
    <t>https://www.dennlys-parc.com/pages/services.php</t>
  </si>
  <si>
    <t>C</t>
  </si>
  <si>
    <t>Les restaurants</t>
  </si>
  <si>
    <t>https://www.dennlys-parc.com/pages/restaurants.php</t>
  </si>
  <si>
    <t>La billetterie</t>
  </si>
  <si>
    <t>https://www.dennlys-parc.com/billetterie/</t>
  </si>
  <si>
    <t>B</t>
  </si>
  <si>
    <t>Les tarifs</t>
  </si>
  <si>
    <t>https://www.dennlys-parc.com/pages/tarif-public.php</t>
  </si>
  <si>
    <t>Liste des attractions</t>
  </si>
  <si>
    <t>https://www.dennlys-parc.com/pages/attractions.php</t>
  </si>
  <si>
    <t>E</t>
  </si>
  <si>
    <t>Calendrier</t>
  </si>
  <si>
    <t>https://www.dennlys-parc.com/pages/calendrier.php</t>
  </si>
  <si>
    <t>Accueil</t>
  </si>
  <si>
    <t>https://www.dennlys-parc.com/</t>
  </si>
  <si>
    <t>Moyenne</t>
  </si>
  <si>
    <t>Cumul</t>
  </si>
  <si>
    <t>Par UF</t>
  </si>
  <si>
    <t>Pour 29 UF (par heure)</t>
  </si>
  <si>
    <t>Pour 29*24 UF (par jour)</t>
  </si>
  <si>
    <t>Pour 29*24*30 UF (par mois)</t>
  </si>
  <si>
    <t>GES kgCO2e</t>
  </si>
  <si>
    <t>Eau l</t>
  </si>
  <si>
    <t>Pour ... UF (par heure)</t>
  </si>
  <si>
    <t>Pour ...*24 UF (par jour)</t>
  </si>
  <si>
    <t>Pour ...*24*30 UF (par mois)</t>
  </si>
  <si>
    <t>Hypothèse réaliste avec tes données Analytics :</t>
  </si>
  <si>
    <t>124 000 vues / 30 jours / 24 h = 172,22 vues par heure
1 UF = parcours moyen de 6 pages
172,22 / 6 = 28,70 UF par heure</t>
  </si>
  <si>
    <t>Nombre requêtes</t>
  </si>
  <si>
    <t>GES (gCO2e)</t>
  </si>
  <si>
    <t>Eau (cl)</t>
  </si>
  <si>
    <t>1.72</t>
  </si>
  <si>
    <t>2.58</t>
  </si>
  <si>
    <t>63.89</t>
  </si>
  <si>
    <t>1.79</t>
  </si>
  <si>
    <t>2.68</t>
  </si>
  <si>
    <t>60.55</t>
  </si>
  <si>
    <t>1.51</t>
  </si>
  <si>
    <t>2.26</t>
  </si>
  <si>
    <t>74.69</t>
  </si>
  <si>
    <t>1.61</t>
  </si>
  <si>
    <t>2.42</t>
  </si>
  <si>
    <t>69.39</t>
  </si>
  <si>
    <t>2.29</t>
  </si>
  <si>
    <t>3.43</t>
  </si>
  <si>
    <t>35.52</t>
  </si>
  <si>
    <t>1.66</t>
  </si>
  <si>
    <t>2.49</t>
  </si>
  <si>
    <t>66.84</t>
  </si>
  <si>
    <t>2.25</t>
  </si>
  <si>
    <t>3.38</t>
  </si>
  <si>
    <t>37.31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</si>
</sst>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/yyyy hh:mm"/>
  </numFmts>
  <fonts count="10">
    <font>
      <sz val="10.0"/>
      <color rgb="FF000000"/>
      <name val="Arial"/>
      <scheme val="minor"/>
    </font>
    <font>
      <b/>
      <color theme="1"/>
      <name val="Red Hat Display"/>
    </font>
    <font>
      <color theme="1"/>
      <name val="Arial"/>
    </font>
    <font>
      <color theme="1"/>
      <name val="Arial"/>
      <scheme val="minor"/>
    </font>
    <font>
      <u/>
      <color rgb="FF0000FF"/>
      <name val="Roboto"/>
    </font>
    <font>
      <u/>
      <color rgb="FF0000FF"/>
      <name val="Arial"/>
    </font>
    <font>
      <sz val="11.0"/>
      <color theme="1"/>
      <name val="Calibri"/>
    </font>
    <font>
      <b/>
      <color rgb="FFFFFFFF"/>
      <name val="Red Hat Display"/>
    </font>
    <font>
      <b/>
      <color theme="1"/>
      <name val="Arial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4A853"/>
        <bgColor rgb="FF34A85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1" fillId="0" fontId="3" numFmtId="164" xfId="0" applyAlignment="1" applyBorder="1" applyFont="1" applyNumberForma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right" vertical="bottom"/>
    </xf>
    <xf borderId="1" fillId="3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65" xfId="0" applyAlignment="1" applyBorder="1" applyFont="1" applyNumberFormat="1">
      <alignment readingOrder="0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0" fontId="2" numFmtId="0" xfId="0" applyAlignment="1" applyFont="1">
      <alignment readingOrder="0" vertical="bottom"/>
    </xf>
    <xf borderId="0" fillId="5" fontId="7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coinde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" displayName="Tableau1" name="Tableau1" id="1">
  <tableColumns count="10">
    <tableColumn name="Date" id="1"/>
    <tableColumn name="Titre de page" id="2"/>
    <tableColumn name="Url" id="3"/>
    <tableColumn name="Nb de requêtes" id="4"/>
    <tableColumn name="Taille(kb)" id="5"/>
    <tableColumn name="Taille du dom" id="6"/>
    <tableColumn name="GES gCO2e" id="7"/>
    <tableColumn name="Eau cl" id="8"/>
    <tableColumn name="ecoIndex" id="9"/>
    <tableColumn name="Note" id="10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A1:I8" displayName="EcoIndex" name="EcoIndex" id="2">
  <tableColumns count="9">
    <tableColumn name="Date" id="1"/>
    <tableColumn name="Url" id="2"/>
    <tableColumn name="Nombre requêtes" id="3"/>
    <tableColumn name="Taille(kb)" id="4"/>
    <tableColumn name="Taille du dom" id="5"/>
    <tableColumn name="GES (gCO2e)" id="6"/>
    <tableColumn name="Eau (cl)" id="7"/>
    <tableColumn name="ecoIndex" id="8"/>
    <tableColumn name="Note" id="9"/>
  </tableColumns>
  <tableStyleInfo name="ecoind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nnlys-parc.com/pages/services.php" TargetMode="External"/><Relationship Id="rId2" Type="http://schemas.openxmlformats.org/officeDocument/2006/relationships/hyperlink" Target="https://www.dennlys-parc.com/pages/restaurants.php" TargetMode="External"/><Relationship Id="rId3" Type="http://schemas.openxmlformats.org/officeDocument/2006/relationships/hyperlink" Target="https://www.dennlys-parc.com/billetterie/" TargetMode="External"/><Relationship Id="rId4" Type="http://schemas.openxmlformats.org/officeDocument/2006/relationships/hyperlink" Target="https://www.dennlys-parc.com/pages/tarif-public.php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www.dennlys-parc.com/pages/attractions.php" TargetMode="External"/><Relationship Id="rId6" Type="http://schemas.openxmlformats.org/officeDocument/2006/relationships/hyperlink" Target="https://www.dennlys-parc.com/pages/calendrier.php" TargetMode="External"/><Relationship Id="rId7" Type="http://schemas.openxmlformats.org/officeDocument/2006/relationships/hyperlink" Target="https://www.dennlys-parc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nnlys-parc.com/pages/services.php" TargetMode="External"/><Relationship Id="rId2" Type="http://schemas.openxmlformats.org/officeDocument/2006/relationships/hyperlink" Target="https://www.dennlys-parc.com/pages/restaurants.php" TargetMode="External"/><Relationship Id="rId3" Type="http://schemas.openxmlformats.org/officeDocument/2006/relationships/hyperlink" Target="https://www.dennlys-parc.com/billetterie/" TargetMode="External"/><Relationship Id="rId4" Type="http://schemas.openxmlformats.org/officeDocument/2006/relationships/hyperlink" Target="https://www.dennlys-parc.com/pages/tarif-public.php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www.dennlys-parc.com/pages/attractions.php" TargetMode="External"/><Relationship Id="rId6" Type="http://schemas.openxmlformats.org/officeDocument/2006/relationships/hyperlink" Target="https://www.dennlys-parc.com/pages/calendrier.php" TargetMode="External"/><Relationship Id="rId7" Type="http://schemas.openxmlformats.org/officeDocument/2006/relationships/hyperlink" Target="https://www.dennlys-parc.com/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6.38"/>
    <col customWidth="1" min="3" max="3" width="41.25"/>
    <col customWidth="1" min="4" max="4" width="15.75"/>
    <col customWidth="1" min="5" max="5" width="19.25"/>
    <col customWidth="1" min="6" max="6" width="15.75"/>
    <col customWidth="1" min="8" max="8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46139.492789351854</v>
      </c>
      <c r="B2" s="5" t="s">
        <v>10</v>
      </c>
      <c r="C2" s="6" t="s">
        <v>11</v>
      </c>
      <c r="D2" s="7">
        <v>76.0</v>
      </c>
      <c r="E2" s="7">
        <v>282.0</v>
      </c>
      <c r="F2" s="7">
        <v>418.0</v>
      </c>
      <c r="G2" s="8">
        <v>1.72</v>
      </c>
      <c r="H2" s="8">
        <v>2.58</v>
      </c>
      <c r="I2" s="8">
        <v>63.89</v>
      </c>
      <c r="J2" s="9" t="s">
        <v>12</v>
      </c>
      <c r="K2" s="10">
        <f t="shared" ref="K2:K8" si="1">AVERAGE(IF(J2:J10="A",5,IF(J2:J10="B",4,IF(J2:J10="C",3,IF(J2:J10="D",2,IF(J2:J10="E",1,NA()))))))</f>
        <v>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46139.49266203704</v>
      </c>
      <c r="B3" s="11" t="s">
        <v>13</v>
      </c>
      <c r="C3" s="6" t="s">
        <v>14</v>
      </c>
      <c r="D3" s="7">
        <v>70.0</v>
      </c>
      <c r="E3" s="7">
        <v>1172.0</v>
      </c>
      <c r="F3" s="7">
        <v>415.0</v>
      </c>
      <c r="G3" s="8">
        <v>1.72</v>
      </c>
      <c r="H3" s="8">
        <v>2.58</v>
      </c>
      <c r="I3" s="8">
        <v>63.89</v>
      </c>
      <c r="J3" s="9" t="s">
        <v>12</v>
      </c>
      <c r="K3" s="10">
        <f t="shared" si="1"/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46139.492430555554</v>
      </c>
      <c r="B4" s="5" t="s">
        <v>15</v>
      </c>
      <c r="C4" s="6" t="s">
        <v>16</v>
      </c>
      <c r="D4" s="7">
        <v>35.0</v>
      </c>
      <c r="E4" s="7">
        <v>772.0</v>
      </c>
      <c r="F4" s="7">
        <v>322.0</v>
      </c>
      <c r="G4" s="8">
        <v>1.72</v>
      </c>
      <c r="H4" s="8">
        <v>2.58</v>
      </c>
      <c r="I4" s="8">
        <v>63.89</v>
      </c>
      <c r="J4" s="9" t="s">
        <v>17</v>
      </c>
      <c r="K4" s="10">
        <f t="shared" si="1"/>
        <v>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46139.492314814815</v>
      </c>
      <c r="B5" s="12" t="s">
        <v>18</v>
      </c>
      <c r="C5" s="6" t="s">
        <v>19</v>
      </c>
      <c r="D5" s="7">
        <v>56.0</v>
      </c>
      <c r="E5" s="7">
        <v>178.0</v>
      </c>
      <c r="F5" s="7">
        <v>408.0</v>
      </c>
      <c r="G5" s="8">
        <v>1.72</v>
      </c>
      <c r="H5" s="8">
        <v>2.58</v>
      </c>
      <c r="I5" s="8">
        <v>63.89</v>
      </c>
      <c r="J5" s="9" t="s">
        <v>12</v>
      </c>
      <c r="K5" s="10">
        <f t="shared" si="1"/>
        <v>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46139.492256944446</v>
      </c>
      <c r="B6" s="13" t="s">
        <v>20</v>
      </c>
      <c r="C6" s="6" t="s">
        <v>21</v>
      </c>
      <c r="D6" s="7">
        <v>85.0</v>
      </c>
      <c r="E6" s="7">
        <v>1198.0</v>
      </c>
      <c r="F6" s="7">
        <v>1185.0</v>
      </c>
      <c r="G6" s="8">
        <v>1.72</v>
      </c>
      <c r="H6" s="8">
        <v>2.58</v>
      </c>
      <c r="I6" s="8">
        <v>63.89</v>
      </c>
      <c r="J6" s="9" t="s">
        <v>22</v>
      </c>
      <c r="K6" s="10">
        <f t="shared" si="1"/>
        <v>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46139.492060185185</v>
      </c>
      <c r="B7" s="12" t="s">
        <v>23</v>
      </c>
      <c r="C7" s="6" t="s">
        <v>24</v>
      </c>
      <c r="D7" s="7">
        <v>45.0</v>
      </c>
      <c r="E7" s="7">
        <v>480.0</v>
      </c>
      <c r="F7" s="7">
        <v>495.0</v>
      </c>
      <c r="G7" s="8">
        <v>1.72</v>
      </c>
      <c r="H7" s="8">
        <v>2.58</v>
      </c>
      <c r="I7" s="8">
        <v>63.89</v>
      </c>
      <c r="J7" s="9" t="s">
        <v>12</v>
      </c>
      <c r="K7" s="10">
        <f t="shared" si="1"/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4">
        <v>46139.49184027778</v>
      </c>
      <c r="B8" s="13" t="s">
        <v>25</v>
      </c>
      <c r="C8" s="15" t="s">
        <v>26</v>
      </c>
      <c r="D8" s="16">
        <v>62.0</v>
      </c>
      <c r="E8" s="16">
        <v>60469.0</v>
      </c>
      <c r="F8" s="16">
        <v>888.0</v>
      </c>
      <c r="G8" s="17">
        <v>1.72</v>
      </c>
      <c r="H8" s="17">
        <v>2.58</v>
      </c>
      <c r="I8" s="17">
        <v>63.89</v>
      </c>
      <c r="J8" s="18" t="s">
        <v>22</v>
      </c>
      <c r="K8" s="10">
        <f t="shared" si="1"/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19" t="s">
        <v>27</v>
      </c>
      <c r="G10" s="19" t="s">
        <v>28</v>
      </c>
      <c r="I10" s="19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20" t="s">
        <v>29</v>
      </c>
      <c r="D11" s="21">
        <f t="shared" ref="D11:F11" si="2">AVERAGE(D2:D8)</f>
        <v>61.28571429</v>
      </c>
      <c r="E11" s="21">
        <f t="shared" si="2"/>
        <v>9221.571429</v>
      </c>
      <c r="F11" s="21">
        <f t="shared" si="2"/>
        <v>590.1428571</v>
      </c>
      <c r="G11" s="22">
        <f t="shared" ref="G11:H11" si="3">SUM(G2:G8)</f>
        <v>12.04</v>
      </c>
      <c r="H11" s="22">
        <f t="shared" si="3"/>
        <v>18.06</v>
      </c>
      <c r="I11" s="10">
        <f>AVERAGE(I2:I8)</f>
        <v>63.89</v>
      </c>
      <c r="J11" s="3" t="str">
        <f>IF(AVERAGE(K2:K8)&gt;=4.5,"A",IF(AVERAGE(K2:K8)&gt;=3.5,"B",IF(AVERAGE(K2:K8)&gt;=2.5,"C",IF(AVERAGE(K2:K8)&gt;=1.5,"D","E"))))</f>
        <v>C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23" t="s">
        <v>30</v>
      </c>
      <c r="D12" s="3"/>
      <c r="E12" s="3"/>
      <c r="F12" s="3"/>
      <c r="G12" s="10">
        <f>G11*29</f>
        <v>349.16</v>
      </c>
      <c r="H12" s="10">
        <f>H11*320</f>
        <v>5779.2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23" t="s">
        <v>31</v>
      </c>
      <c r="D13" s="3"/>
      <c r="E13" s="3"/>
      <c r="F13" s="3"/>
      <c r="G13" s="10">
        <f>G11*29*24</f>
        <v>8379.84</v>
      </c>
      <c r="H13" s="10">
        <f>H11*320*24</f>
        <v>138700.8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23" t="s">
        <v>32</v>
      </c>
      <c r="D14" s="3"/>
      <c r="E14" s="3"/>
      <c r="F14" s="3"/>
      <c r="G14" s="10">
        <f>G11*29*24*30</f>
        <v>251395.2</v>
      </c>
      <c r="H14" s="10">
        <f>H11*320*24*30</f>
        <v>4161024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24" t="s">
        <v>33</v>
      </c>
      <c r="H16" s="24" t="s">
        <v>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 t="s">
        <v>35</v>
      </c>
      <c r="D17" s="3"/>
      <c r="E17" s="3"/>
      <c r="F17" s="3"/>
      <c r="G17" s="10">
        <f>G12/1000</f>
        <v>0.34916</v>
      </c>
      <c r="H17" s="10">
        <v>0.0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 t="s">
        <v>36</v>
      </c>
      <c r="D18" s="3"/>
      <c r="E18" s="3"/>
      <c r="F18" s="3"/>
      <c r="G18" s="10">
        <f t="shared" ref="G18:H18" si="4">G17*24</f>
        <v>8.37984</v>
      </c>
      <c r="H18" s="10">
        <f t="shared" si="4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 t="s">
        <v>37</v>
      </c>
      <c r="D19" s="3"/>
      <c r="E19" s="3"/>
      <c r="F19" s="3"/>
      <c r="G19" s="10">
        <f t="shared" ref="G19:H19" si="5">G18*30</f>
        <v>251.3952</v>
      </c>
      <c r="H19" s="10">
        <f t="shared" si="5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25"/>
      <c r="F21" s="2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6" t="s">
        <v>38</v>
      </c>
      <c r="B22" s="3"/>
      <c r="C22" s="3"/>
      <c r="D22" s="3"/>
      <c r="E22" s="3"/>
      <c r="F22" s="2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 t="s">
        <v>39</v>
      </c>
      <c r="B23" s="3"/>
      <c r="C23" s="3"/>
      <c r="D23" s="3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3">
    <mergeCell ref="D10:F10"/>
    <mergeCell ref="G10:H10"/>
    <mergeCell ref="I10:J10"/>
  </mergeCells>
  <dataValidations>
    <dataValidation type="custom" allowBlank="1" showDropDown="1" sqref="A2:A8">
      <formula1>OR(NOT(ISERROR(DATEVALUE(A2))), AND(ISNUMBER(A2), LEFT(CELL("format", A2))="D"))</formula1>
    </dataValidation>
    <dataValidation type="custom" allowBlank="1" showDropDown="1" sqref="D2:F8">
      <formula1>AND(ISNUMBER(D2),(NOT(OR(NOT(ISERROR(DATEVALUE(D2))), AND(ISNUMBER(D2), LEFT(CELL("format", D2))="D")))))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37.63"/>
    <col customWidth="1" min="3" max="3" width="18.38"/>
    <col customWidth="1" min="5" max="5" width="15.5"/>
    <col customWidth="1" min="6" max="6" width="15.13"/>
  </cols>
  <sheetData>
    <row r="1" ht="22.5" customHeight="1">
      <c r="A1" s="27" t="s">
        <v>0</v>
      </c>
      <c r="B1" s="27" t="s">
        <v>2</v>
      </c>
      <c r="C1" s="27" t="s">
        <v>40</v>
      </c>
      <c r="D1" s="27" t="s">
        <v>4</v>
      </c>
      <c r="E1" s="27" t="s">
        <v>5</v>
      </c>
      <c r="F1" s="27" t="s">
        <v>41</v>
      </c>
      <c r="G1" s="27" t="s">
        <v>42</v>
      </c>
      <c r="H1" s="27" t="s">
        <v>8</v>
      </c>
      <c r="I1" s="27" t="s">
        <v>9</v>
      </c>
    </row>
    <row r="2" ht="22.5" customHeight="1">
      <c r="A2" s="28">
        <v>46139.492789351854</v>
      </c>
      <c r="B2" s="29" t="s">
        <v>11</v>
      </c>
      <c r="C2" s="30">
        <v>76.0</v>
      </c>
      <c r="D2" s="30">
        <v>282.0</v>
      </c>
      <c r="E2" s="30">
        <v>418.0</v>
      </c>
      <c r="F2" s="30" t="s">
        <v>43</v>
      </c>
      <c r="G2" s="30" t="s">
        <v>44</v>
      </c>
      <c r="H2" s="30" t="s">
        <v>45</v>
      </c>
      <c r="I2" s="30" t="s">
        <v>12</v>
      </c>
    </row>
    <row r="3" ht="22.5" customHeight="1">
      <c r="A3" s="28">
        <v>46139.49266203704</v>
      </c>
      <c r="B3" s="29" t="s">
        <v>14</v>
      </c>
      <c r="C3" s="30">
        <v>70.0</v>
      </c>
      <c r="D3" s="30">
        <v>1172.0</v>
      </c>
      <c r="E3" s="30">
        <v>415.0</v>
      </c>
      <c r="F3" s="30" t="s">
        <v>46</v>
      </c>
      <c r="G3" s="30" t="s">
        <v>47</v>
      </c>
      <c r="H3" s="30" t="s">
        <v>48</v>
      </c>
      <c r="I3" s="30" t="s">
        <v>12</v>
      </c>
    </row>
    <row r="4" ht="22.5" customHeight="1">
      <c r="A4" s="28">
        <v>46139.492430555554</v>
      </c>
      <c r="B4" s="29" t="s">
        <v>16</v>
      </c>
      <c r="C4" s="30">
        <v>35.0</v>
      </c>
      <c r="D4" s="30">
        <v>772.0</v>
      </c>
      <c r="E4" s="30">
        <v>322.0</v>
      </c>
      <c r="F4" s="30" t="s">
        <v>49</v>
      </c>
      <c r="G4" s="30" t="s">
        <v>50</v>
      </c>
      <c r="H4" s="30" t="s">
        <v>51</v>
      </c>
      <c r="I4" s="30" t="s">
        <v>17</v>
      </c>
    </row>
    <row r="5" ht="22.5" customHeight="1">
      <c r="A5" s="28">
        <v>46139.492314814815</v>
      </c>
      <c r="B5" s="29" t="s">
        <v>19</v>
      </c>
      <c r="C5" s="30">
        <v>56.0</v>
      </c>
      <c r="D5" s="30">
        <v>178.0</v>
      </c>
      <c r="E5" s="30">
        <v>408.0</v>
      </c>
      <c r="F5" s="30" t="s">
        <v>52</v>
      </c>
      <c r="G5" s="30" t="s">
        <v>53</v>
      </c>
      <c r="H5" s="30" t="s">
        <v>54</v>
      </c>
      <c r="I5" s="30" t="s">
        <v>12</v>
      </c>
    </row>
    <row r="6" ht="22.5" customHeight="1">
      <c r="A6" s="28">
        <v>46139.492256944446</v>
      </c>
      <c r="B6" s="29" t="s">
        <v>21</v>
      </c>
      <c r="C6" s="30">
        <v>85.0</v>
      </c>
      <c r="D6" s="30">
        <v>1198.0</v>
      </c>
      <c r="E6" s="30">
        <v>1185.0</v>
      </c>
      <c r="F6" s="30" t="s">
        <v>55</v>
      </c>
      <c r="G6" s="30" t="s">
        <v>56</v>
      </c>
      <c r="H6" s="30" t="s">
        <v>57</v>
      </c>
      <c r="I6" s="30" t="s">
        <v>22</v>
      </c>
    </row>
    <row r="7" ht="22.5" customHeight="1">
      <c r="A7" s="28">
        <v>46139.492060185185</v>
      </c>
      <c r="B7" s="29" t="s">
        <v>24</v>
      </c>
      <c r="C7" s="30">
        <v>45.0</v>
      </c>
      <c r="D7" s="30">
        <v>480.0</v>
      </c>
      <c r="E7" s="30">
        <v>495.0</v>
      </c>
      <c r="F7" s="30" t="s">
        <v>58</v>
      </c>
      <c r="G7" s="30" t="s">
        <v>59</v>
      </c>
      <c r="H7" s="30" t="s">
        <v>60</v>
      </c>
      <c r="I7" s="30" t="s">
        <v>12</v>
      </c>
    </row>
    <row r="8" ht="22.5" customHeight="1">
      <c r="A8" s="28">
        <v>46139.49184027778</v>
      </c>
      <c r="B8" s="29" t="s">
        <v>26</v>
      </c>
      <c r="C8" s="30">
        <v>62.0</v>
      </c>
      <c r="D8" s="30">
        <v>60469.0</v>
      </c>
      <c r="E8" s="30">
        <v>888.0</v>
      </c>
      <c r="F8" s="30" t="s">
        <v>61</v>
      </c>
      <c r="G8" s="30" t="s">
        <v>62</v>
      </c>
      <c r="H8" s="30" t="s">
        <v>63</v>
      </c>
      <c r="I8" s="30" t="s">
        <v>22</v>
      </c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  <tableParts count="1">
    <tablePart r:id="rId10"/>
  </tableParts>
</worksheet>
</file>